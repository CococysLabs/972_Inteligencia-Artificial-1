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Contenidos_Lab_Anterior" sheetId="2" r:id="rId6"/>
    <sheet state="visible" name="Contenido_Lab_Actual" sheetId="3" r:id="rId7"/>
    <sheet state="visible" name="Contenido_Lab_Posterior" sheetId="4" r:id="rId8"/>
  </sheets>
  <definedNames/>
  <calcPr/>
</workbook>
</file>

<file path=xl/sharedStrings.xml><?xml version="1.0" encoding="utf-8"?>
<sst xmlns="http://schemas.openxmlformats.org/spreadsheetml/2006/main" count="388" uniqueCount="179">
  <si>
    <t>Nombre del Curso</t>
  </si>
  <si>
    <t>Competencias actuales del laboratorio</t>
  </si>
  <si>
    <t>Organización de Lenguajes y Compiladores 2</t>
  </si>
  <si>
    <t>Inteligencia Artificial 2</t>
  </si>
  <si>
    <t>Inteligencia Artificial 1</t>
  </si>
  <si>
    <t>Semestre que aplica</t>
  </si>
  <si>
    <t>Primer Semestre 2026</t>
  </si>
  <si>
    <t>No</t>
  </si>
  <si>
    <t>Competencia</t>
  </si>
  <si>
    <t>Unidad</t>
  </si>
  <si>
    <t>Tema</t>
  </si>
  <si>
    <t>Subtema</t>
  </si>
  <si>
    <t>El estudiante comprende las fases de un compilador a través de diagramas de flujo y modelos teóricos con ejemplos de compilación real en lenguajes como C, Go o Java.</t>
  </si>
  <si>
    <t>Fases de la compilación</t>
  </si>
  <si>
    <t>Motivaciones para estudiar compiladores</t>
  </si>
  <si>
    <t>Recomendaciones para el curso</t>
  </si>
  <si>
    <t>El estudiante evalúa el desempeño de cada fase del compilador a través de métricas de tiempo y uso de memoria para comparar implementaciones como GCC vs. Clang</t>
  </si>
  <si>
    <t>¿Qué es un compilador?</t>
  </si>
  <si>
    <t>El estudiante utiliza herramientas generadoras de lexers y parsers tales como Flex, Bison y ANTLR en proyectos de análisis léxico y sintáctico</t>
  </si>
  <si>
    <t>Análisis Léxico</t>
  </si>
  <si>
    <t>El estudiante explica la eliminación de recursión por la izquierda con ejemplos paso a paso para preparar gramáticas para análisis sintáctico</t>
  </si>
  <si>
    <t>Análisis Sintáctico</t>
  </si>
  <si>
    <t>Análisis Semántico</t>
  </si>
  <si>
    <t>Compilar vs Interpretar vs Transpilar</t>
  </si>
  <si>
    <t>Interpretación de instruciones básicas</t>
  </si>
  <si>
    <t>Repaso de fases del compilador</t>
  </si>
  <si>
    <t>desarrolla hechos, reglas, expresiones y predicados recursivos mediante el uso de cláusulas, ciclos, listas, unificación y cortes en Prolog para modelar bases de conocimiento y resolver problemas de inferencia lógica</t>
  </si>
  <si>
    <t>Precedecia de operadores</t>
  </si>
  <si>
    <t>Calculadora Básica</t>
  </si>
  <si>
    <t>Logica e Inferencia</t>
  </si>
  <si>
    <t>Tipos de datos y variables</t>
  </si>
  <si>
    <t>Acciones Semánticas</t>
  </si>
  <si>
    <t>Declaración de datos atómicos y compuestos</t>
  </si>
  <si>
    <t>Tipos de analizadores sintácticos</t>
  </si>
  <si>
    <t>Manejo de entornos dentro del intérprete</t>
  </si>
  <si>
    <t>Patron Visitor</t>
  </si>
  <si>
    <t>Tabla de simbolos</t>
  </si>
  <si>
    <t>Manipulación de variables en entornos lógicos</t>
  </si>
  <si>
    <t>Parent Pointer Tree</t>
  </si>
  <si>
    <t>Reglas, Hechos y Consultas</t>
  </si>
  <si>
    <t>Declaraciones</t>
  </si>
  <si>
    <t>Sintaxis de hechos y reglas en Prolog</t>
  </si>
  <si>
    <t>Asignaciones</t>
  </si>
  <si>
    <t>Realización de consultas simples y compuestas</t>
  </si>
  <si>
    <t>Estructuras cíclicas y de control de flujo</t>
  </si>
  <si>
    <t>Lenguajes Turing Completos</t>
  </si>
  <si>
    <t>Expresiones y Cláusulas</t>
  </si>
  <si>
    <t>Estructuras de control</t>
  </si>
  <si>
    <t>Construcción de expresiones condicionales</t>
  </si>
  <si>
    <t>Ciclos</t>
  </si>
  <si>
    <t>Encadenamiento de cláusulas para inferencias</t>
  </si>
  <si>
    <t>Sentencias de transferencia</t>
  </si>
  <si>
    <t>Predicados</t>
  </si>
  <si>
    <t>Definición de predicados simples</t>
  </si>
  <si>
    <t>Funciones y cerraduras en un intérprete</t>
  </si>
  <si>
    <t>Funciones embebidas</t>
  </si>
  <si>
    <t>Uso de predicados recursivos</t>
  </si>
  <si>
    <t>Código del Curso</t>
  </si>
  <si>
    <t>Negación y Cortes</t>
  </si>
  <si>
    <t>Funciones foráneas</t>
  </si>
  <si>
    <t>Implementación de negación en inferencias</t>
  </si>
  <si>
    <t>Clousures</t>
  </si>
  <si>
    <t>972 - Inteligencia Artificial 1</t>
  </si>
  <si>
    <t>Control de flujo mediante cortes</t>
  </si>
  <si>
    <t>Resolución de variables</t>
  </si>
  <si>
    <t>Ciclos y Recursión</t>
  </si>
  <si>
    <t>Definición de ciclos recursivos</t>
  </si>
  <si>
    <t>Hoisting</t>
  </si>
  <si>
    <t>Resolución de problemas mediante recursividad</t>
  </si>
  <si>
    <t>Call Stack</t>
  </si>
  <si>
    <t>Átomos, Listas y Unificación</t>
  </si>
  <si>
    <t>Manejo de átomos y listas</t>
  </si>
  <si>
    <t>Programación orientada a objetos en un intérprete</t>
  </si>
  <si>
    <t>Clases y Objetos</t>
  </si>
  <si>
    <t>Principios de unificación de términos</t>
  </si>
  <si>
    <t>Prototipos</t>
  </si>
  <si>
    <t>evalúa plataformas de realidad aumentada usando criterios de compatibilidad, usabilidad y eficiencia bajo escenarios de prueba en dispositivos móviles y navegadores web</t>
  </si>
  <si>
    <t>Realidad Aumentada</t>
  </si>
  <si>
    <t>Introducción a la Realidad Aumentada</t>
  </si>
  <si>
    <t>Definición y aplicaciones de la AR</t>
  </si>
  <si>
    <t>Constructores</t>
  </si>
  <si>
    <t>Semestre</t>
  </si>
  <si>
    <t>Componentes básicos de un sistema de AR</t>
  </si>
  <si>
    <t>Sobrecarga de métodos</t>
  </si>
  <si>
    <t>Plataformas de Desarrollo de AR</t>
  </si>
  <si>
    <t>Plataformas de desarrollo de AR</t>
  </si>
  <si>
    <t>El estudiante analiza representaciones intermedias de código mediante código de tres direcciones para identificar oportunidades de optimización</t>
  </si>
  <si>
    <t>Representaciones intermedias y generación de código</t>
  </si>
  <si>
    <t>Código de 3 direcciones</t>
  </si>
  <si>
    <t>Librerías de AR para entornos web</t>
  </si>
  <si>
    <t>Bytecode</t>
  </si>
  <si>
    <t>crea aplicaciones de realidad aumentada con contenido digital interactivo mediante el uso de bibliotecas y técnicas de diseño de experiencias para integrar información virtual en el mundo real de forma efectiva y funcional</t>
  </si>
  <si>
    <t>Diseño de Aplicaciones de Realidad Aumentada</t>
  </si>
  <si>
    <t>Planeación de flujos de usuario en AR</t>
  </si>
  <si>
    <t>Assembly: RISC-V</t>
  </si>
  <si>
    <t>Tipos primitivos a bajo nivel</t>
  </si>
  <si>
    <t>Tipos enteros</t>
  </si>
  <si>
    <t>Integración de interacción digital en entornos reales</t>
  </si>
  <si>
    <t>Creación de Contenido Digital para AR</t>
  </si>
  <si>
    <t>Representación de punto flotante</t>
  </si>
  <si>
    <t>Modelado de objetos 2D y 3D para AR</t>
  </si>
  <si>
    <t>Área de Conocimiento</t>
  </si>
  <si>
    <t>Char</t>
  </si>
  <si>
    <t>Técnicas de optimización de contenido digital</t>
  </si>
  <si>
    <t>Computación</t>
  </si>
  <si>
    <t>integra diseños 2D y 3D de robots la eficiencia y realismo en simulaciones robóticas para aumentar la precisión, eficiencia y realismo de entornos virtuales</t>
  </si>
  <si>
    <t>Simulación de Robots</t>
  </si>
  <si>
    <t>Strings</t>
  </si>
  <si>
    <t>Introducción a la Simulación Robótica</t>
  </si>
  <si>
    <t>Definición y aplicaciones de la simulación de robots</t>
  </si>
  <si>
    <t>El estudiante genera código de bajo nivel y ensamblador a partir de plantillas de generación y asignación de registros considerando convenciones de llamada y optimización de registros</t>
  </si>
  <si>
    <t>Entornos, variables globales y locales en un compilador</t>
  </si>
  <si>
    <t>Plataformas y bibliotecas de simulación 3D y 2D</t>
  </si>
  <si>
    <t>Manejo del stack para variables locales</t>
  </si>
  <si>
    <t>Diseño de Robots en 2D</t>
  </si>
  <si>
    <t>Modelado de robots en entornos bidimensionales</t>
  </si>
  <si>
    <t>Resolucion de variables</t>
  </si>
  <si>
    <t>Definición de acciones básicas en 2D</t>
  </si>
  <si>
    <t>Cantidad de Creditos</t>
  </si>
  <si>
    <t>Traducción de estructuras de control en un compilador</t>
  </si>
  <si>
    <t>Etiquetas</t>
  </si>
  <si>
    <t>Diseño de Robots en 3D</t>
  </si>
  <si>
    <t>Creación de modelos tridimensionales de robots</t>
  </si>
  <si>
    <t>Saltos condicionales</t>
  </si>
  <si>
    <t>Implementación de texturas y materiales</t>
  </si>
  <si>
    <t>Programación de Acciones Robóticas</t>
  </si>
  <si>
    <t>Saltos incondicionales</t>
  </si>
  <si>
    <t>Definición de trayectorias y movimientos</t>
  </si>
  <si>
    <t>Traducción de funciones de primera clase en un compilador</t>
  </si>
  <si>
    <t>Paso de argumentos</t>
  </si>
  <si>
    <t>Respuesta a eventos en simulaciones robóticas</t>
  </si>
  <si>
    <t>mejora la eficiencia y realismo en simulaciones robóticas mediante ajuste de parámetros, uso de bibliotecas de control y pruebas iterativas para aumentar la precisión, eficiencia y realismo de entornos virtuales</t>
  </si>
  <si>
    <t>Call Frames</t>
  </si>
  <si>
    <t>Simulación de Entornos Robóticos</t>
  </si>
  <si>
    <t>Implementación de simuladores básicos (p5.js, Three.js)</t>
  </si>
  <si>
    <t>Valores de retorno</t>
  </si>
  <si>
    <t>Interacción de múltiples robots en un mismo entorno</t>
  </si>
  <si>
    <t>Horas de aprendizaje</t>
  </si>
  <si>
    <t>Programación orientada a objetos en un compilador</t>
  </si>
  <si>
    <t>Propiedades</t>
  </si>
  <si>
    <t>Métodos</t>
  </si>
  <si>
    <t>El estudiante aplica técnicas de optimización de código como optimización local y global para reducir tamaño de código y mejorar rendimiento</t>
  </si>
  <si>
    <t>Manejo del heap</t>
  </si>
  <si>
    <t>Optimización de código</t>
  </si>
  <si>
    <t>Eliminación de código muerto</t>
  </si>
  <si>
    <t>Propagación de constantes</t>
  </si>
  <si>
    <t>Optmización de bucles</t>
  </si>
  <si>
    <t>Simplificación Algebraica</t>
  </si>
  <si>
    <t>Descripción del Contexto</t>
  </si>
  <si>
    <t>Optimización de saltos condicionales</t>
  </si>
  <si>
    <t>Recolección de basura</t>
  </si>
  <si>
    <t>Garbage Collection</t>
  </si>
  <si>
    <t>Memory Leaks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</si>
  <si>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</si>
  <si>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</si>
  <si>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</si>
  <si>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</si>
  <si>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</si>
  <si>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</si>
  <si>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Teoría de Sistemas 2</t>
  </si>
  <si>
    <t>Modelación y Simulación 1</t>
  </si>
  <si>
    <t>Sistemas de Bases de Datos 2</t>
  </si>
  <si>
    <t>Sistemas Organizacionales y Gerenciales 1</t>
  </si>
  <si>
    <t>Seguridad y Auditoría de Redes de Computadoras</t>
  </si>
  <si>
    <t>Análisis y Diseño de Sistemas 2</t>
  </si>
  <si>
    <t>Seminario de Sistemas 2</t>
  </si>
  <si>
    <t>Sistemas Aplicados 1</t>
  </si>
  <si>
    <t>Bases de Datos Avanzadas</t>
  </si>
  <si>
    <t>Prácticas Finales Ingeniería Ciencias y Sistemas</t>
  </si>
  <si>
    <t>Competencias Actuales</t>
  </si>
  <si>
    <t>Tipo</t>
  </si>
  <si>
    <t>Nivel de la Taxonomina</t>
  </si>
  <si>
    <t>General</t>
  </si>
  <si>
    <t>Crear</t>
  </si>
  <si>
    <t>Integra fundamentos de lógica, realidad aumentada y simulación robótica mediante el uso de entornos de desarrollo para resolver problemas relacionados a inferencia, interacción digital y simulación de comportamientos autónomos</t>
  </si>
  <si>
    <t>Analizar</t>
  </si>
  <si>
    <t>Especifica</t>
  </si>
  <si>
    <t>implementa soluciones de inteligencia artificial empleando técnicas de inferencia lógica, diseño de entornos virtuales y control de robots en distintos escenarios de optimización, clasificación y toma de decisiones</t>
  </si>
  <si>
    <t>Aplicar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</si>
</sst>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404040"/>
      <name val="Roboto"/>
    </font>
    <font/>
    <font>
      <b/>
      <sz val="12.0"/>
      <color rgb="FFFF6D01"/>
      <name val="Arial"/>
    </font>
    <font>
      <color rgb="FFFFFFFF"/>
      <name val="Arial"/>
    </font>
    <font>
      <color theme="1"/>
      <name val="Arial"/>
      <scheme val="minor"/>
    </font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3" fontId="2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1" fillId="0" fontId="1" numFmtId="0" xfId="0" applyBorder="1" applyFont="1"/>
    <xf borderId="0" fillId="0" fontId="1" numFmtId="0" xfId="0" applyFont="1"/>
    <xf borderId="0" fillId="0" fontId="2" numFmtId="0" xfId="0" applyAlignment="1" applyFont="1">
      <alignment vertical="bottom"/>
    </xf>
    <xf borderId="4" fillId="3" fontId="1" numFmtId="0" xfId="0" applyAlignment="1" applyBorder="1" applyFill="1" applyFont="1">
      <alignment readingOrder="0" shrinkToFit="0" vertical="bottom" wrapText="1"/>
    </xf>
    <xf borderId="4" fillId="3" fontId="1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" fillId="4" fontId="2" numFmtId="0" xfId="0" applyAlignment="1" applyBorder="1" applyFill="1" applyFont="1">
      <alignment vertical="bottom"/>
    </xf>
    <xf borderId="1" fillId="2" fontId="7" numFmtId="0" xfId="0" applyAlignment="1" applyBorder="1" applyFill="1" applyFont="1">
      <alignment horizontal="center" readingOrder="0" vertical="bottom"/>
    </xf>
    <xf borderId="1" fillId="5" fontId="1" numFmtId="0" xfId="0" applyAlignment="1" applyBorder="1" applyFill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4" fontId="8" numFmtId="0" xfId="0" applyAlignment="1" applyBorder="1" applyFill="1" applyFont="1">
      <alignment vertical="bottom"/>
    </xf>
    <xf borderId="0" fillId="6" fontId="9" numFmtId="0" xfId="0" applyAlignment="1" applyFill="1" applyFont="1">
      <alignment horizontal="center" vertical="bottom"/>
    </xf>
    <xf borderId="0" fillId="7" fontId="10" numFmtId="0" xfId="0" applyAlignment="1" applyFill="1" applyFont="1">
      <alignment horizontal="center" shrinkToFit="0" vertical="bottom" wrapText="1"/>
    </xf>
    <xf borderId="0" fillId="8" fontId="10" numFmtId="0" xfId="0" applyAlignment="1" applyFill="1" applyFont="1">
      <alignment horizontal="center" shrinkToFit="0" vertical="bottom" wrapText="1"/>
    </xf>
    <xf borderId="0" fillId="9" fontId="10" numFmtId="0" xfId="0" applyAlignment="1" applyFill="1" applyFont="1">
      <alignment horizontal="center" vertical="bottom"/>
    </xf>
    <xf borderId="4" fillId="0" fontId="11" numFmtId="0" xfId="0" applyAlignment="1" applyBorder="1" applyFont="1">
      <alignment shrinkToFit="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2" fontId="12" numFmtId="0" xfId="0" applyAlignment="1" applyBorder="1" applyFill="1" applyFont="1">
      <alignment shrinkToFit="0" wrapText="1"/>
    </xf>
    <xf borderId="4" fillId="0" fontId="13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left" readingOrder="0" shrinkToFit="0" vertical="bottom" wrapText="1"/>
    </xf>
    <xf borderId="4" fillId="2" fontId="1" numFmtId="0" xfId="0" applyAlignment="1" applyBorder="1" applyFill="1" applyFont="1">
      <alignment horizontal="left" readingOrder="0" shrinkToFit="0" vertical="bottom" wrapText="1"/>
    </xf>
    <xf borderId="4" fillId="2" fontId="1" numFmtId="0" xfId="0" applyAlignment="1" applyBorder="1" applyFill="1" applyFont="1">
      <alignment readingOrder="0" shrinkToFit="0" vertical="bottom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1" numFmtId="0" xfId="0" applyBorder="1" applyFont="1"/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shrinkToFit="0" vertical="bottom" wrapText="1"/>
    </xf>
    <xf borderId="4" fillId="2" fontId="1" numFmtId="0" xfId="0" applyAlignment="1" applyBorder="1" applyFill="1" applyFont="1">
      <alignment vertical="bottom"/>
    </xf>
    <xf borderId="4" fillId="10" fontId="10" numFmtId="0" xfId="0" applyAlignment="1" applyBorder="1" applyFill="1" applyFont="1">
      <alignment horizontal="center" shrinkToFit="0" vertical="bottom" wrapText="1"/>
    </xf>
    <xf borderId="4" fillId="10" fontId="10" numFmtId="0" xfId="0" applyAlignment="1" applyBorder="1" applyFill="1" applyFont="1">
      <alignment horizontal="center" vertical="bottom"/>
    </xf>
    <xf borderId="1" fillId="10" fontId="10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/>
      <c r="B1" s="7" t="s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4">
        <f>VALUE(LEFT(F4,FIND(" - ",F4)-1))</f>
        <v>972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"/>
      <c r="B3" s="1"/>
      <c r="C3" s="1"/>
      <c r="D3" s="17" t="s">
        <v>0</v>
      </c>
      <c r="E3" s="6"/>
      <c r="F3" s="18" t="s">
        <v>4</v>
      </c>
      <c r="G3" s="5"/>
      <c r="H3" s="5"/>
      <c r="I3" s="5"/>
      <c r="J3" s="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8"/>
      <c r="B4" s="1"/>
      <c r="C4" s="1"/>
      <c r="D4" s="17" t="s">
        <v>57</v>
      </c>
      <c r="E4" s="6"/>
      <c r="F4" s="19" t="s">
        <v>62</v>
      </c>
      <c r="G4" s="5"/>
      <c r="H4" s="5"/>
      <c r="I4" s="5"/>
      <c r="J4" s="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/>
      <c r="B5" s="1"/>
      <c r="C5" s="1"/>
      <c r="D5" s="17" t="s">
        <v>81</v>
      </c>
      <c r="E5" s="6"/>
      <c r="F5" s="20">
        <v>9.0</v>
      </c>
      <c r="G5" s="5"/>
      <c r="H5" s="5"/>
      <c r="I5" s="5"/>
      <c r="J5" s="6"/>
      <c r="K5" s="8"/>
      <c r="L5" s="1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/>
      <c r="B6" s="1"/>
      <c r="C6" s="1"/>
      <c r="D6" s="17" t="s">
        <v>101</v>
      </c>
      <c r="E6" s="6"/>
      <c r="F6" s="20" t="s">
        <v>104</v>
      </c>
      <c r="G6" s="5"/>
      <c r="H6" s="5"/>
      <c r="I6" s="5"/>
      <c r="J6" s="6"/>
      <c r="K6" s="8"/>
      <c r="L6" s="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/>
      <c r="B7" s="8"/>
      <c r="C7" s="8"/>
      <c r="D7" s="21" t="s">
        <v>118</v>
      </c>
      <c r="E7" s="6"/>
      <c r="F7" s="20">
        <v>7.0</v>
      </c>
      <c r="G7" s="5"/>
      <c r="H7" s="5"/>
      <c r="I7" s="5"/>
      <c r="J7" s="6"/>
      <c r="K7" s="8"/>
      <c r="L7" s="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/>
      <c r="B8" s="8"/>
      <c r="C8" s="8"/>
      <c r="D8" s="21" t="s">
        <v>137</v>
      </c>
      <c r="E8" s="6"/>
      <c r="F8" s="20">
        <v>4.0</v>
      </c>
      <c r="G8" s="5"/>
      <c r="H8" s="5"/>
      <c r="I8" s="5"/>
      <c r="J8" s="6"/>
      <c r="K8" s="8"/>
      <c r="L8" s="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22" t="s">
        <v>148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23" t="s">
        <v>153</v>
      </c>
      <c r="E13" s="8"/>
      <c r="F13" s="24" t="s">
        <v>154</v>
      </c>
      <c r="I13" s="8"/>
      <c r="J13" s="25" t="s">
        <v>155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26" t="s">
        <v>156</v>
      </c>
      <c r="C14" s="26" t="s">
        <v>157</v>
      </c>
      <c r="D14" s="26" t="s">
        <v>158</v>
      </c>
      <c r="E14" s="8"/>
      <c r="F14" s="27" t="s">
        <v>156</v>
      </c>
      <c r="G14" s="26" t="s">
        <v>157</v>
      </c>
      <c r="H14" s="26" t="s">
        <v>158</v>
      </c>
      <c r="I14" s="8"/>
      <c r="J14" s="28" t="s">
        <v>156</v>
      </c>
      <c r="K14" s="29" t="s">
        <v>157</v>
      </c>
      <c r="L14" s="29" t="s">
        <v>158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7.75" customHeight="1">
      <c r="A15" s="8"/>
      <c r="B15" s="30">
        <v>1.0</v>
      </c>
      <c r="C15" s="31">
        <v>724.0</v>
      </c>
      <c r="D15" s="31" t="s">
        <v>159</v>
      </c>
      <c r="E15" s="8"/>
      <c r="F15" s="30">
        <v>1.0</v>
      </c>
      <c r="G15" s="32">
        <v>729.0</v>
      </c>
      <c r="H15" s="33" t="s">
        <v>160</v>
      </c>
      <c r="I15" s="8"/>
      <c r="J15" s="34">
        <v>1.0</v>
      </c>
      <c r="K15" s="35">
        <v>968.0</v>
      </c>
      <c r="L15" s="36" t="s">
        <v>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8"/>
      <c r="B16" s="30">
        <v>2.0</v>
      </c>
      <c r="C16" s="31">
        <v>775.0</v>
      </c>
      <c r="D16" s="31" t="s">
        <v>161</v>
      </c>
      <c r="E16" s="8"/>
      <c r="F16" s="30">
        <v>2.0</v>
      </c>
      <c r="G16" s="32">
        <v>786.0</v>
      </c>
      <c r="H16" s="33" t="s">
        <v>162</v>
      </c>
      <c r="I16" s="8"/>
      <c r="J16" s="34">
        <v>2.0</v>
      </c>
      <c r="K16" s="37"/>
      <c r="L16" s="37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9.0" customHeight="1">
      <c r="A17" s="8"/>
      <c r="B17" s="30">
        <v>3.0</v>
      </c>
      <c r="C17" s="31">
        <v>781.0</v>
      </c>
      <c r="D17" s="31" t="s">
        <v>2</v>
      </c>
      <c r="E17" s="8"/>
      <c r="F17" s="30">
        <v>3.0</v>
      </c>
      <c r="G17" s="32">
        <v>972.0</v>
      </c>
      <c r="H17" s="33" t="s">
        <v>4</v>
      </c>
      <c r="I17" s="8"/>
      <c r="J17" s="34">
        <v>3.0</v>
      </c>
      <c r="K17" s="37"/>
      <c r="L17" s="37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30">
        <v>4.0</v>
      </c>
      <c r="C18" s="38"/>
      <c r="D18" s="38" t="str">
        <f>IFERROR(__xludf.DUMMYFUNCTION("IF(C18="""","""",VLOOKUP(C18,IMPORTRANGE(""1j2lHEvOoZ_EPY086Qt7f7AFaZGVfiYKJxXlsnNfWCA0"", ""Listado Cursos!A:B""),2,FALSE))"),"")</f>
        <v/>
      </c>
      <c r="E18" s="8"/>
      <c r="F18" s="30">
        <v>4.0</v>
      </c>
      <c r="G18" s="32">
        <v>966.0</v>
      </c>
      <c r="H18" s="33" t="s">
        <v>163</v>
      </c>
      <c r="I18" s="8"/>
      <c r="J18" s="34">
        <v>4.0</v>
      </c>
      <c r="K18" s="37"/>
      <c r="L18" s="37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30">
        <v>5.0</v>
      </c>
      <c r="C19" s="38"/>
      <c r="D19" s="38" t="str">
        <f>IFERROR(__xludf.DUMMYFUNCTION("IF(C19="""","""",VLOOKUP(C19,IMPORTRANGE(""1j2lHEvOoZ_EPY086Qt7f7AFaZGVfiYKJxXlsnNfWCA0"", ""Listado Cursos!A:B""),2,FALSE))"),"")</f>
        <v/>
      </c>
      <c r="E19" s="8"/>
      <c r="F19" s="30">
        <v>5.0</v>
      </c>
      <c r="G19" s="32">
        <v>785.0</v>
      </c>
      <c r="H19" s="33" t="s">
        <v>164</v>
      </c>
      <c r="I19" s="8"/>
      <c r="J19" s="34">
        <v>5.0</v>
      </c>
      <c r="K19" s="37"/>
      <c r="L19" s="3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30">
        <v>6.0</v>
      </c>
      <c r="C20" s="38"/>
      <c r="D20" s="38" t="str">
        <f>IFERROR(__xludf.DUMMYFUNCTION("IF(C20="""","""",VLOOKUP(C20,IMPORTRANGE(""1j2lHEvOoZ_EPY086Qt7f7AFaZGVfiYKJxXlsnNfWCA0"", ""Listado Cursos!A:B""),2,FALSE))"),"")</f>
        <v/>
      </c>
      <c r="E20" s="8"/>
      <c r="F20" s="30">
        <v>6.0</v>
      </c>
      <c r="G20" s="32">
        <v>798.0</v>
      </c>
      <c r="H20" s="39" t="s">
        <v>165</v>
      </c>
      <c r="I20" s="8"/>
      <c r="J20" s="34">
        <v>6.0</v>
      </c>
      <c r="K20" s="37"/>
      <c r="L20" s="3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0">
        <v>7.0</v>
      </c>
      <c r="C21" s="38"/>
      <c r="D21" s="38" t="str">
        <f>IFERROR(__xludf.DUMMYFUNCTION("IF(C21="""","""",VLOOKUP(C21,IMPORTRANGE(""1j2lHEvOoZ_EPY086Qt7f7AFaZGVfiYKJxXlsnNfWCA0"", ""Listado Cursos!A:B""),2,FALSE))"),"")</f>
        <v/>
      </c>
      <c r="E21" s="8"/>
      <c r="F21" s="30">
        <v>7.0</v>
      </c>
      <c r="G21" s="32">
        <v>788.0</v>
      </c>
      <c r="H21" s="39" t="s">
        <v>166</v>
      </c>
      <c r="I21" s="8"/>
      <c r="J21" s="34">
        <v>7.0</v>
      </c>
      <c r="K21" s="37"/>
      <c r="L21" s="3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30">
        <v>8.0</v>
      </c>
      <c r="C22" s="38"/>
      <c r="D22" s="38" t="str">
        <f>IFERROR(__xludf.DUMMYFUNCTION("IF(C22="""","""",VLOOKUP(C22,IMPORTRANGE(""1j2lHEvOoZ_EPY086Qt7f7AFaZGVfiYKJxXlsnNfWCA0"", ""Listado Cursos!A:B""),2,FALSE))"),"")</f>
        <v/>
      </c>
      <c r="E22" s="8"/>
      <c r="F22" s="30">
        <v>8.0</v>
      </c>
      <c r="G22" s="32">
        <v>776.0</v>
      </c>
      <c r="H22" s="39" t="s">
        <v>167</v>
      </c>
      <c r="I22" s="8"/>
      <c r="J22" s="34">
        <v>8.0</v>
      </c>
      <c r="K22" s="37"/>
      <c r="L22" s="3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6.25" customHeight="1">
      <c r="A23" s="8"/>
      <c r="B23" s="30">
        <v>9.0</v>
      </c>
      <c r="C23" s="38"/>
      <c r="D23" s="38" t="str">
        <f>IFERROR(__xludf.DUMMYFUNCTION("IF(C23="""","""",VLOOKUP(C23,IMPORTRANGE(""1j2lHEvOoZ_EPY086Qt7f7AFaZGVfiYKJxXlsnNfWCA0"", ""Listado Cursos!A:B""),2,FALSE))"),"")</f>
        <v/>
      </c>
      <c r="E23" s="8"/>
      <c r="F23" s="30">
        <v>9.0</v>
      </c>
      <c r="G23" s="31">
        <v>2009.0</v>
      </c>
      <c r="H23" s="39" t="s">
        <v>168</v>
      </c>
      <c r="I23" s="8"/>
      <c r="J23" s="34">
        <v>9.0</v>
      </c>
      <c r="K23" s="37"/>
      <c r="L23" s="3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30">
        <v>10.0</v>
      </c>
      <c r="C24" s="38"/>
      <c r="D24" s="38" t="str">
        <f>IFERROR(__xludf.DUMMYFUNCTION("IF(C24="""","""",VLOOKUP(C24,IMPORTRANGE(""1j2lHEvOoZ_EPY086Qt7f7AFaZGVfiYKJxXlsnNfWCA0"", ""Listado Cursos!A:B""),2,FALSE))"),"")</f>
        <v/>
      </c>
      <c r="E24" s="8"/>
      <c r="F24" s="30">
        <v>10.0</v>
      </c>
      <c r="G24" s="38"/>
      <c r="H24" s="38"/>
      <c r="I24" s="8"/>
      <c r="J24" s="34">
        <v>10.0</v>
      </c>
      <c r="K24" s="37"/>
      <c r="L24" s="3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30">
        <v>11.0</v>
      </c>
      <c r="C25" s="38"/>
      <c r="D25" s="38" t="str">
        <f>IFERROR(__xludf.DUMMYFUNCTION("IF(C25="""","""",VLOOKUP(C25,IMPORTRANGE(""1j2lHEvOoZ_EPY086Qt7f7AFaZGVfiYKJxXlsnNfWCA0"", ""Listado Cursos!A:B""),2,FALSE))"),"")</f>
        <v/>
      </c>
      <c r="E25" s="8"/>
      <c r="F25" s="30">
        <v>11.0</v>
      </c>
      <c r="G25" s="38"/>
      <c r="H25" s="38"/>
      <c r="I25" s="8"/>
      <c r="J25" s="34">
        <v>11.0</v>
      </c>
      <c r="K25" s="37"/>
      <c r="L25" s="3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30">
        <v>12.0</v>
      </c>
      <c r="C26" s="40"/>
      <c r="D26" s="38" t="str">
        <f>IFERROR(__xludf.DUMMYFUNCTION("IF(C26="""","""",VLOOKUP(C26,IMPORTRANGE(""1j2lHEvOoZ_EPY086Qt7f7AFaZGVfiYKJxXlsnNfWCA0"", ""Listado Cursos!A:B""),2,FALSE))"),"")</f>
        <v/>
      </c>
      <c r="E26" s="8"/>
      <c r="F26" s="30">
        <v>12.0</v>
      </c>
      <c r="G26" s="38"/>
      <c r="H26" s="38"/>
      <c r="I26" s="8"/>
      <c r="J26" s="34">
        <v>12.0</v>
      </c>
      <c r="K26" s="37"/>
      <c r="L26" s="3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30">
        <v>13.0</v>
      </c>
      <c r="C27" s="40"/>
      <c r="D27" s="38" t="str">
        <f>IFERROR(__xludf.DUMMYFUNCTION("IF(C27="""","""",VLOOKUP(C27,IMPORTRANGE(""1j2lHEvOoZ_EPY086Qt7f7AFaZGVfiYKJxXlsnNfWCA0"", ""Listado Cursos!A:B""),2,FALSE))"),"")</f>
        <v/>
      </c>
      <c r="E27" s="8"/>
      <c r="F27" s="30">
        <v>13.0</v>
      </c>
      <c r="G27" s="38"/>
      <c r="H27" s="38"/>
      <c r="I27" s="8"/>
      <c r="J27" s="34">
        <v>13.0</v>
      </c>
      <c r="K27" s="37"/>
      <c r="L27" s="3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30">
        <v>14.0</v>
      </c>
      <c r="C28" s="40"/>
      <c r="D28" s="38" t="str">
        <f>IFERROR(__xludf.DUMMYFUNCTION("IF(C28="""","""",VLOOKUP(C28,IMPORTRANGE(""1j2lHEvOoZ_EPY086Qt7f7AFaZGVfiYKJxXlsnNfWCA0"", ""Listado Cursos!A:B""),2,FALSE))"),"")</f>
        <v/>
      </c>
      <c r="E28" s="8"/>
      <c r="F28" s="30">
        <v>14.0</v>
      </c>
      <c r="G28" s="38"/>
      <c r="H28" s="38"/>
      <c r="I28" s="8"/>
      <c r="J28" s="34">
        <v>14.0</v>
      </c>
      <c r="K28" s="37"/>
      <c r="L28" s="3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2" t="s">
        <v>169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41" t="s">
        <v>156</v>
      </c>
      <c r="C33" s="42" t="s">
        <v>170</v>
      </c>
      <c r="D33" s="43" t="s">
        <v>8</v>
      </c>
      <c r="E33" s="5"/>
      <c r="F33" s="5"/>
      <c r="G33" s="5"/>
      <c r="H33" s="5"/>
      <c r="I33" s="5"/>
      <c r="J33" s="5"/>
      <c r="K33" s="6"/>
      <c r="L33" s="41" t="s">
        <v>171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7.5" customHeight="1">
      <c r="A34" s="8"/>
      <c r="B34" s="44">
        <v>1.0</v>
      </c>
      <c r="C34" s="44" t="s">
        <v>172</v>
      </c>
      <c r="D34" s="45" t="s">
        <v>131</v>
      </c>
      <c r="E34" s="5"/>
      <c r="F34" s="5"/>
      <c r="G34" s="5"/>
      <c r="H34" s="5"/>
      <c r="I34" s="5"/>
      <c r="J34" s="5"/>
      <c r="K34" s="6"/>
      <c r="L34" s="44" t="s">
        <v>173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7.5" customHeight="1">
      <c r="A35" s="8"/>
      <c r="B35" s="44">
        <v>2.0</v>
      </c>
      <c r="C35" s="44" t="s">
        <v>172</v>
      </c>
      <c r="D35" s="45" t="s">
        <v>174</v>
      </c>
      <c r="E35" s="5"/>
      <c r="F35" s="5"/>
      <c r="G35" s="5"/>
      <c r="H35" s="5"/>
      <c r="I35" s="5"/>
      <c r="J35" s="5"/>
      <c r="K35" s="6"/>
      <c r="L35" s="44" t="s">
        <v>175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37.5" customHeight="1">
      <c r="A36" s="8"/>
      <c r="B36" s="44">
        <v>3.0</v>
      </c>
      <c r="C36" s="44" t="s">
        <v>176</v>
      </c>
      <c r="D36" s="45" t="s">
        <v>177</v>
      </c>
      <c r="E36" s="5"/>
      <c r="F36" s="5"/>
      <c r="G36" s="5"/>
      <c r="H36" s="5"/>
      <c r="I36" s="5"/>
      <c r="J36" s="5"/>
      <c r="K36" s="6"/>
      <c r="L36" s="44" t="s">
        <v>178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7.5" customHeight="1">
      <c r="A37" s="8"/>
      <c r="B37" s="44">
        <v>4.0</v>
      </c>
      <c r="C37" s="44" t="s">
        <v>176</v>
      </c>
      <c r="D37" s="45" t="s">
        <v>26</v>
      </c>
      <c r="E37" s="5"/>
      <c r="F37" s="5"/>
      <c r="G37" s="5"/>
      <c r="H37" s="5"/>
      <c r="I37" s="5"/>
      <c r="J37" s="5"/>
      <c r="K37" s="6"/>
      <c r="L37" s="44" t="s">
        <v>173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7.5" customHeight="1">
      <c r="A38" s="8"/>
      <c r="B38" s="44">
        <v>5.0</v>
      </c>
      <c r="C38" s="44" t="s">
        <v>176</v>
      </c>
      <c r="D38" s="45" t="s">
        <v>76</v>
      </c>
      <c r="E38" s="5"/>
      <c r="F38" s="5"/>
      <c r="G38" s="5"/>
      <c r="H38" s="5"/>
      <c r="I38" s="5"/>
      <c r="J38" s="5"/>
      <c r="K38" s="6"/>
      <c r="L38" s="44" t="s">
        <v>175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7.5" customHeight="1">
      <c r="A39" s="8"/>
      <c r="B39" s="44">
        <v>6.0</v>
      </c>
      <c r="C39" s="44" t="s">
        <v>176</v>
      </c>
      <c r="D39" s="45" t="s">
        <v>91</v>
      </c>
      <c r="E39" s="5"/>
      <c r="F39" s="5"/>
      <c r="G39" s="5"/>
      <c r="H39" s="5"/>
      <c r="I39" s="5"/>
      <c r="J39" s="5"/>
      <c r="K39" s="6"/>
      <c r="L39" s="44" t="s">
        <v>173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7.5" customHeight="1">
      <c r="A40" s="8"/>
      <c r="B40" s="44">
        <v>7.0</v>
      </c>
      <c r="C40" s="44" t="s">
        <v>176</v>
      </c>
      <c r="D40" s="45" t="s">
        <v>105</v>
      </c>
      <c r="E40" s="5"/>
      <c r="F40" s="5"/>
      <c r="G40" s="5"/>
      <c r="H40" s="5"/>
      <c r="I40" s="5"/>
      <c r="J40" s="5"/>
      <c r="K40" s="6"/>
      <c r="L40" s="44" t="s">
        <v>176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0.13"/>
    <col customWidth="1" min="4" max="4" width="25.88"/>
    <col customWidth="1" min="5" max="5" width="21.25"/>
  </cols>
  <sheetData>
    <row r="2">
      <c r="B2" s="2" t="s">
        <v>0</v>
      </c>
      <c r="C2" s="4" t="s">
        <v>2</v>
      </c>
      <c r="D2" s="5"/>
      <c r="E2" s="5"/>
      <c r="F2" s="6"/>
    </row>
    <row r="3">
      <c r="B3" s="2" t="s">
        <v>5</v>
      </c>
      <c r="C3" s="10" t="s">
        <v>6</v>
      </c>
    </row>
    <row r="4">
      <c r="B4" s="3"/>
    </row>
    <row r="5">
      <c r="B5" s="12" t="s">
        <v>7</v>
      </c>
      <c r="C5" s="12" t="s">
        <v>8</v>
      </c>
      <c r="D5" s="12" t="s">
        <v>9</v>
      </c>
      <c r="E5" s="12" t="s">
        <v>10</v>
      </c>
      <c r="F5" s="12" t="s">
        <v>11</v>
      </c>
    </row>
    <row r="6">
      <c r="B6" s="15">
        <v>1.0</v>
      </c>
      <c r="C6" s="15" t="s">
        <v>12</v>
      </c>
      <c r="D6" s="15">
        <v>1.0</v>
      </c>
      <c r="E6" s="15" t="s">
        <v>13</v>
      </c>
      <c r="F6" s="15" t="s">
        <v>14</v>
      </c>
    </row>
    <row r="7">
      <c r="B7" s="15">
        <v>2.0</v>
      </c>
      <c r="C7" s="15" t="s">
        <v>12</v>
      </c>
      <c r="D7" s="15">
        <v>1.0</v>
      </c>
      <c r="E7" s="15" t="s">
        <v>13</v>
      </c>
      <c r="F7" s="15" t="s">
        <v>15</v>
      </c>
    </row>
    <row r="8">
      <c r="B8" s="15">
        <v>3.0</v>
      </c>
      <c r="C8" s="15" t="s">
        <v>16</v>
      </c>
      <c r="D8" s="15">
        <v>1.0</v>
      </c>
      <c r="E8" s="15" t="s">
        <v>13</v>
      </c>
      <c r="F8" s="15" t="s">
        <v>17</v>
      </c>
    </row>
    <row r="9">
      <c r="B9" s="15">
        <v>4.0</v>
      </c>
      <c r="C9" s="15" t="s">
        <v>18</v>
      </c>
      <c r="D9" s="15">
        <v>1.0</v>
      </c>
      <c r="E9" s="15" t="s">
        <v>13</v>
      </c>
      <c r="F9" s="15" t="s">
        <v>19</v>
      </c>
    </row>
    <row r="10">
      <c r="B10" s="15">
        <v>5.0</v>
      </c>
      <c r="C10" s="15" t="s">
        <v>20</v>
      </c>
      <c r="D10" s="15">
        <v>1.0</v>
      </c>
      <c r="E10" s="15" t="s">
        <v>13</v>
      </c>
      <c r="F10" s="15" t="s">
        <v>21</v>
      </c>
    </row>
    <row r="11">
      <c r="B11" s="15">
        <v>6.0</v>
      </c>
      <c r="C11" s="15" t="s">
        <v>16</v>
      </c>
      <c r="D11" s="15">
        <v>1.0</v>
      </c>
      <c r="E11" s="15" t="s">
        <v>13</v>
      </c>
      <c r="F11" s="15" t="s">
        <v>22</v>
      </c>
    </row>
    <row r="12">
      <c r="B12" s="15">
        <v>7.0</v>
      </c>
      <c r="C12" s="15" t="s">
        <v>12</v>
      </c>
      <c r="D12" s="15">
        <v>1.0</v>
      </c>
      <c r="E12" s="15" t="s">
        <v>13</v>
      </c>
      <c r="F12" s="15" t="s">
        <v>23</v>
      </c>
    </row>
    <row r="13">
      <c r="B13" s="15">
        <v>8.0</v>
      </c>
      <c r="C13" s="15" t="s">
        <v>12</v>
      </c>
      <c r="D13" s="15">
        <v>1.0</v>
      </c>
      <c r="E13" s="15" t="s">
        <v>24</v>
      </c>
      <c r="F13" s="15" t="s">
        <v>25</v>
      </c>
    </row>
    <row r="14">
      <c r="B14" s="15">
        <v>9.0</v>
      </c>
      <c r="C14" s="15" t="s">
        <v>18</v>
      </c>
      <c r="D14" s="15">
        <v>1.0</v>
      </c>
      <c r="E14" s="15" t="s">
        <v>24</v>
      </c>
      <c r="F14" s="15" t="s">
        <v>27</v>
      </c>
    </row>
    <row r="15">
      <c r="B15" s="15">
        <v>10.0</v>
      </c>
      <c r="C15" s="15" t="s">
        <v>18</v>
      </c>
      <c r="D15" s="15">
        <v>1.0</v>
      </c>
      <c r="E15" s="15" t="s">
        <v>24</v>
      </c>
      <c r="F15" s="15" t="s">
        <v>28</v>
      </c>
    </row>
    <row r="16">
      <c r="B16" s="15">
        <v>11.0</v>
      </c>
      <c r="C16" s="15" t="s">
        <v>12</v>
      </c>
      <c r="D16" s="15">
        <v>1.0</v>
      </c>
      <c r="E16" s="15" t="s">
        <v>24</v>
      </c>
      <c r="F16" s="15" t="s">
        <v>31</v>
      </c>
    </row>
    <row r="17">
      <c r="B17" s="15">
        <v>12.0</v>
      </c>
      <c r="C17" s="15" t="s">
        <v>20</v>
      </c>
      <c r="D17" s="15">
        <v>1.0</v>
      </c>
      <c r="E17" s="15" t="s">
        <v>24</v>
      </c>
      <c r="F17" s="15" t="s">
        <v>33</v>
      </c>
    </row>
    <row r="18">
      <c r="B18" s="15">
        <v>13.0</v>
      </c>
      <c r="C18" s="15" t="s">
        <v>12</v>
      </c>
      <c r="D18" s="15">
        <v>1.0</v>
      </c>
      <c r="E18" s="15" t="s">
        <v>34</v>
      </c>
      <c r="F18" s="15" t="s">
        <v>35</v>
      </c>
    </row>
    <row r="19">
      <c r="B19" s="15">
        <v>14.0</v>
      </c>
      <c r="C19" s="15" t="s">
        <v>18</v>
      </c>
      <c r="D19" s="15">
        <v>1.0</v>
      </c>
      <c r="E19" s="15" t="s">
        <v>34</v>
      </c>
      <c r="F19" s="15" t="s">
        <v>36</v>
      </c>
    </row>
    <row r="20">
      <c r="B20" s="15">
        <v>15.0</v>
      </c>
      <c r="C20" s="15" t="s">
        <v>12</v>
      </c>
      <c r="D20" s="15">
        <v>1.0</v>
      </c>
      <c r="E20" s="15" t="s">
        <v>34</v>
      </c>
      <c r="F20" s="15" t="s">
        <v>38</v>
      </c>
    </row>
    <row r="21">
      <c r="B21" s="15">
        <v>16.0</v>
      </c>
      <c r="C21" s="15" t="s">
        <v>12</v>
      </c>
      <c r="D21" s="15">
        <v>1.0</v>
      </c>
      <c r="E21" s="15" t="s">
        <v>34</v>
      </c>
      <c r="F21" s="15" t="s">
        <v>40</v>
      </c>
    </row>
    <row r="22">
      <c r="B22" s="15">
        <v>17.0</v>
      </c>
      <c r="C22" s="15" t="s">
        <v>12</v>
      </c>
      <c r="D22" s="15">
        <v>1.0</v>
      </c>
      <c r="E22" s="15" t="s">
        <v>34</v>
      </c>
      <c r="F22" s="15" t="s">
        <v>42</v>
      </c>
    </row>
    <row r="23">
      <c r="B23" s="15">
        <v>18.0</v>
      </c>
      <c r="C23" s="15" t="s">
        <v>12</v>
      </c>
      <c r="D23" s="15">
        <v>1.0</v>
      </c>
      <c r="E23" s="15" t="s">
        <v>44</v>
      </c>
      <c r="F23" s="15" t="s">
        <v>45</v>
      </c>
    </row>
    <row r="24">
      <c r="B24" s="15">
        <v>19.0</v>
      </c>
      <c r="C24" s="15" t="s">
        <v>18</v>
      </c>
      <c r="D24" s="15">
        <v>1.0</v>
      </c>
      <c r="E24" s="15" t="s">
        <v>44</v>
      </c>
      <c r="F24" s="15" t="s">
        <v>47</v>
      </c>
    </row>
    <row r="25">
      <c r="B25" s="15">
        <v>20.0</v>
      </c>
      <c r="C25" s="15" t="s">
        <v>18</v>
      </c>
      <c r="D25" s="15">
        <v>1.0</v>
      </c>
      <c r="E25" s="15" t="s">
        <v>44</v>
      </c>
      <c r="F25" s="15" t="s">
        <v>49</v>
      </c>
    </row>
    <row r="26">
      <c r="B26" s="15">
        <v>21.0</v>
      </c>
      <c r="C26" s="15" t="s">
        <v>18</v>
      </c>
      <c r="D26" s="15">
        <v>1.0</v>
      </c>
      <c r="E26" s="15" t="s">
        <v>44</v>
      </c>
      <c r="F26" s="15" t="s">
        <v>51</v>
      </c>
    </row>
    <row r="27">
      <c r="B27" s="15">
        <v>22.0</v>
      </c>
      <c r="C27" s="15" t="s">
        <v>18</v>
      </c>
      <c r="D27" s="15">
        <v>2.0</v>
      </c>
      <c r="E27" s="15" t="s">
        <v>54</v>
      </c>
      <c r="F27" s="15" t="s">
        <v>55</v>
      </c>
    </row>
    <row r="28">
      <c r="B28" s="15">
        <v>23.0</v>
      </c>
      <c r="C28" s="15" t="s">
        <v>18</v>
      </c>
      <c r="D28" s="15">
        <v>2.0</v>
      </c>
      <c r="E28" s="15" t="s">
        <v>54</v>
      </c>
      <c r="F28" s="15" t="s">
        <v>59</v>
      </c>
    </row>
    <row r="29">
      <c r="B29" s="15">
        <v>24.0</v>
      </c>
      <c r="C29" s="15" t="s">
        <v>18</v>
      </c>
      <c r="D29" s="15">
        <v>2.0</v>
      </c>
      <c r="E29" s="15" t="s">
        <v>54</v>
      </c>
      <c r="F29" s="15" t="s">
        <v>61</v>
      </c>
    </row>
    <row r="30">
      <c r="B30" s="15">
        <v>25.0</v>
      </c>
      <c r="C30" s="15" t="s">
        <v>18</v>
      </c>
      <c r="D30" s="15">
        <v>2.0</v>
      </c>
      <c r="E30" s="15" t="s">
        <v>54</v>
      </c>
      <c r="F30" s="15" t="s">
        <v>64</v>
      </c>
    </row>
    <row r="31">
      <c r="B31" s="15">
        <v>26.0</v>
      </c>
      <c r="C31" s="15" t="s">
        <v>18</v>
      </c>
      <c r="D31" s="15">
        <v>2.0</v>
      </c>
      <c r="E31" s="15" t="s">
        <v>54</v>
      </c>
      <c r="F31" s="15" t="s">
        <v>67</v>
      </c>
    </row>
    <row r="32">
      <c r="B32" s="15">
        <v>27.0</v>
      </c>
      <c r="C32" s="15" t="s">
        <v>12</v>
      </c>
      <c r="D32" s="15">
        <v>2.0</v>
      </c>
      <c r="E32" s="15" t="s">
        <v>54</v>
      </c>
      <c r="F32" s="15" t="s">
        <v>69</v>
      </c>
    </row>
    <row r="33">
      <c r="B33" s="15">
        <v>28.0</v>
      </c>
      <c r="C33" s="15" t="s">
        <v>12</v>
      </c>
      <c r="D33" s="15">
        <v>2.0</v>
      </c>
      <c r="E33" s="15" t="s">
        <v>72</v>
      </c>
      <c r="F33" s="15" t="s">
        <v>73</v>
      </c>
    </row>
    <row r="34">
      <c r="B34" s="15">
        <v>29.0</v>
      </c>
      <c r="C34" s="15" t="s">
        <v>12</v>
      </c>
      <c r="D34" s="15">
        <v>2.0</v>
      </c>
      <c r="E34" s="15" t="s">
        <v>72</v>
      </c>
      <c r="F34" s="15" t="s">
        <v>75</v>
      </c>
    </row>
    <row r="35">
      <c r="B35" s="15">
        <v>30.0</v>
      </c>
      <c r="C35" s="15" t="s">
        <v>12</v>
      </c>
      <c r="D35" s="15">
        <v>2.0</v>
      </c>
      <c r="E35" s="15" t="s">
        <v>72</v>
      </c>
      <c r="F35" s="15" t="s">
        <v>80</v>
      </c>
    </row>
    <row r="36">
      <c r="B36" s="15">
        <v>31.0</v>
      </c>
      <c r="C36" s="15" t="s">
        <v>12</v>
      </c>
      <c r="D36" s="15">
        <v>2.0</v>
      </c>
      <c r="E36" s="15" t="s">
        <v>72</v>
      </c>
      <c r="F36" s="15" t="s">
        <v>83</v>
      </c>
    </row>
    <row r="37">
      <c r="B37" s="15">
        <v>32.0</v>
      </c>
      <c r="C37" s="15" t="s">
        <v>86</v>
      </c>
      <c r="D37" s="15">
        <v>2.0</v>
      </c>
      <c r="E37" s="15" t="s">
        <v>87</v>
      </c>
      <c r="F37" s="15" t="s">
        <v>88</v>
      </c>
    </row>
    <row r="38">
      <c r="B38" s="15">
        <v>33.0</v>
      </c>
      <c r="C38" s="15" t="s">
        <v>86</v>
      </c>
      <c r="D38" s="15">
        <v>2.0</v>
      </c>
      <c r="E38" s="15" t="s">
        <v>87</v>
      </c>
      <c r="F38" s="15" t="s">
        <v>90</v>
      </c>
    </row>
    <row r="39">
      <c r="B39" s="15">
        <v>34.0</v>
      </c>
      <c r="C39" s="15" t="s">
        <v>86</v>
      </c>
      <c r="D39" s="15">
        <v>2.0</v>
      </c>
      <c r="E39" s="15" t="s">
        <v>87</v>
      </c>
      <c r="F39" s="15" t="s">
        <v>94</v>
      </c>
    </row>
    <row r="40">
      <c r="B40" s="15">
        <v>35.0</v>
      </c>
      <c r="C40" s="15" t="s">
        <v>86</v>
      </c>
      <c r="D40" s="15">
        <v>2.0</v>
      </c>
      <c r="E40" s="15" t="s">
        <v>95</v>
      </c>
      <c r="F40" s="15" t="s">
        <v>96</v>
      </c>
    </row>
    <row r="41">
      <c r="B41" s="15">
        <v>36.0</v>
      </c>
      <c r="C41" s="15" t="s">
        <v>86</v>
      </c>
      <c r="D41" s="15">
        <v>2.0</v>
      </c>
      <c r="E41" s="15" t="s">
        <v>95</v>
      </c>
      <c r="F41" s="15" t="s">
        <v>99</v>
      </c>
    </row>
    <row r="42">
      <c r="B42" s="15">
        <v>37.0</v>
      </c>
      <c r="C42" s="15" t="s">
        <v>86</v>
      </c>
      <c r="D42" s="15">
        <v>2.0</v>
      </c>
      <c r="E42" s="15" t="s">
        <v>95</v>
      </c>
      <c r="F42" s="15" t="s">
        <v>102</v>
      </c>
    </row>
    <row r="43">
      <c r="B43" s="15">
        <v>38.0</v>
      </c>
      <c r="C43" s="15" t="s">
        <v>86</v>
      </c>
      <c r="D43" s="15">
        <v>2.0</v>
      </c>
      <c r="E43" s="15" t="s">
        <v>95</v>
      </c>
      <c r="F43" s="15" t="s">
        <v>107</v>
      </c>
    </row>
    <row r="44">
      <c r="B44" s="15">
        <v>39.0</v>
      </c>
      <c r="C44" s="15" t="s">
        <v>110</v>
      </c>
      <c r="D44" s="15">
        <v>3.0</v>
      </c>
      <c r="E44" s="15" t="s">
        <v>111</v>
      </c>
      <c r="F44" s="15" t="s">
        <v>36</v>
      </c>
    </row>
    <row r="45">
      <c r="B45" s="15">
        <v>40.0</v>
      </c>
      <c r="C45" s="15" t="s">
        <v>110</v>
      </c>
      <c r="D45" s="15">
        <v>3.0</v>
      </c>
      <c r="E45" s="15" t="s">
        <v>111</v>
      </c>
      <c r="F45" s="15" t="s">
        <v>113</v>
      </c>
    </row>
    <row r="46">
      <c r="B46" s="15">
        <v>41.0</v>
      </c>
      <c r="C46" s="15" t="s">
        <v>110</v>
      </c>
      <c r="D46" s="15">
        <v>3.0</v>
      </c>
      <c r="E46" s="15" t="s">
        <v>111</v>
      </c>
      <c r="F46" s="15" t="s">
        <v>116</v>
      </c>
    </row>
    <row r="47">
      <c r="B47" s="15">
        <v>42.0</v>
      </c>
      <c r="C47" s="15" t="s">
        <v>110</v>
      </c>
      <c r="D47" s="15">
        <v>3.0</v>
      </c>
      <c r="E47" s="15" t="s">
        <v>119</v>
      </c>
      <c r="F47" s="15" t="s">
        <v>120</v>
      </c>
    </row>
    <row r="48">
      <c r="B48" s="15">
        <v>43.0</v>
      </c>
      <c r="C48" s="15" t="s">
        <v>110</v>
      </c>
      <c r="D48" s="15">
        <v>3.0</v>
      </c>
      <c r="E48" s="15" t="s">
        <v>119</v>
      </c>
      <c r="F48" s="15" t="s">
        <v>123</v>
      </c>
    </row>
    <row r="49">
      <c r="B49" s="15">
        <v>44.0</v>
      </c>
      <c r="C49" s="15" t="s">
        <v>110</v>
      </c>
      <c r="D49" s="15">
        <v>3.0</v>
      </c>
      <c r="E49" s="15" t="s">
        <v>119</v>
      </c>
      <c r="F49" s="15" t="s">
        <v>126</v>
      </c>
    </row>
    <row r="50">
      <c r="B50" s="15">
        <v>45.0</v>
      </c>
      <c r="C50" s="15" t="s">
        <v>110</v>
      </c>
      <c r="D50" s="15">
        <v>3.0</v>
      </c>
      <c r="E50" s="15" t="s">
        <v>128</v>
      </c>
      <c r="F50" s="15" t="s">
        <v>129</v>
      </c>
    </row>
    <row r="51">
      <c r="B51" s="15">
        <v>46.0</v>
      </c>
      <c r="C51" s="15" t="s">
        <v>86</v>
      </c>
      <c r="D51" s="15">
        <v>3.0</v>
      </c>
      <c r="E51" s="15" t="s">
        <v>128</v>
      </c>
      <c r="F51" s="15" t="s">
        <v>132</v>
      </c>
    </row>
    <row r="52">
      <c r="B52" s="15">
        <v>47.0</v>
      </c>
      <c r="C52" s="15" t="s">
        <v>110</v>
      </c>
      <c r="D52" s="15">
        <v>3.0</v>
      </c>
      <c r="E52" s="15" t="s">
        <v>128</v>
      </c>
      <c r="F52" s="15" t="s">
        <v>135</v>
      </c>
    </row>
    <row r="53">
      <c r="B53" s="15">
        <v>48.0</v>
      </c>
      <c r="C53" s="15" t="s">
        <v>86</v>
      </c>
      <c r="D53" s="15">
        <v>3.0</v>
      </c>
      <c r="E53" s="15" t="s">
        <v>138</v>
      </c>
      <c r="F53" s="15" t="s">
        <v>139</v>
      </c>
    </row>
    <row r="54">
      <c r="B54" s="15">
        <v>49.0</v>
      </c>
      <c r="C54" s="15" t="s">
        <v>110</v>
      </c>
      <c r="D54" s="15">
        <v>3.0</v>
      </c>
      <c r="E54" s="15" t="s">
        <v>138</v>
      </c>
      <c r="F54" s="15" t="s">
        <v>140</v>
      </c>
    </row>
    <row r="55">
      <c r="B55" s="15">
        <v>50.0</v>
      </c>
      <c r="C55" s="15" t="s">
        <v>141</v>
      </c>
      <c r="D55" s="15">
        <v>3.0</v>
      </c>
      <c r="E55" s="15" t="s">
        <v>138</v>
      </c>
      <c r="F55" s="15" t="s">
        <v>142</v>
      </c>
    </row>
    <row r="56">
      <c r="B56" s="15">
        <v>51.0</v>
      </c>
      <c r="C56" s="15" t="s">
        <v>141</v>
      </c>
      <c r="D56" s="15">
        <v>4.0</v>
      </c>
      <c r="E56" s="15" t="s">
        <v>143</v>
      </c>
      <c r="F56" s="15" t="s">
        <v>144</v>
      </c>
    </row>
    <row r="57">
      <c r="B57" s="15">
        <v>52.0</v>
      </c>
      <c r="C57" s="15" t="s">
        <v>141</v>
      </c>
      <c r="D57" s="15">
        <v>4.0</v>
      </c>
      <c r="E57" s="15" t="s">
        <v>143</v>
      </c>
      <c r="F57" s="15" t="s">
        <v>145</v>
      </c>
    </row>
    <row r="58">
      <c r="B58" s="15">
        <v>53.0</v>
      </c>
      <c r="C58" s="15" t="s">
        <v>141</v>
      </c>
      <c r="D58" s="15">
        <v>4.0</v>
      </c>
      <c r="E58" s="15" t="s">
        <v>143</v>
      </c>
      <c r="F58" s="15" t="s">
        <v>146</v>
      </c>
    </row>
    <row r="59">
      <c r="B59" s="15">
        <v>54.0</v>
      </c>
      <c r="C59" s="15" t="s">
        <v>141</v>
      </c>
      <c r="D59" s="15">
        <v>4.0</v>
      </c>
      <c r="E59" s="15" t="s">
        <v>143</v>
      </c>
      <c r="F59" s="15" t="s">
        <v>147</v>
      </c>
    </row>
    <row r="60">
      <c r="B60" s="15">
        <v>55.0</v>
      </c>
      <c r="C60" s="15" t="s">
        <v>141</v>
      </c>
      <c r="D60" s="15">
        <v>4.0</v>
      </c>
      <c r="E60" s="15" t="s">
        <v>143</v>
      </c>
      <c r="F60" s="15" t="s">
        <v>149</v>
      </c>
    </row>
    <row r="61">
      <c r="B61" s="15">
        <v>56.0</v>
      </c>
      <c r="C61" s="15" t="s">
        <v>141</v>
      </c>
      <c r="D61" s="15">
        <v>4.0</v>
      </c>
      <c r="E61" s="15" t="s">
        <v>150</v>
      </c>
      <c r="F61" s="15" t="s">
        <v>151</v>
      </c>
    </row>
    <row r="62">
      <c r="B62" s="15">
        <v>57.0</v>
      </c>
      <c r="C62" s="15" t="s">
        <v>141</v>
      </c>
      <c r="D62" s="15">
        <v>4.0</v>
      </c>
      <c r="E62" s="15" t="s">
        <v>150</v>
      </c>
      <c r="F62" s="15" t="s">
        <v>152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40.5"/>
    <col customWidth="1" min="4" max="4" width="22.75"/>
    <col customWidth="1" min="5" max="5" width="21.88"/>
    <col customWidth="1" min="6" max="6" width="20.25"/>
  </cols>
  <sheetData>
    <row r="1">
      <c r="B1" s="3"/>
    </row>
    <row r="2">
      <c r="B2" s="2" t="s">
        <v>0</v>
      </c>
      <c r="C2" s="4" t="s">
        <v>4</v>
      </c>
      <c r="D2" s="5"/>
      <c r="E2" s="5"/>
      <c r="F2" s="6"/>
      <c r="G2" s="11"/>
      <c r="H2" s="11"/>
    </row>
    <row r="3">
      <c r="B3" s="2" t="s">
        <v>5</v>
      </c>
      <c r="C3" s="10" t="s">
        <v>6</v>
      </c>
    </row>
    <row r="4">
      <c r="B4" s="3"/>
    </row>
    <row r="5"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</row>
    <row r="6">
      <c r="B6" s="16">
        <v>1.0</v>
      </c>
      <c r="C6" s="15" t="s">
        <v>26</v>
      </c>
      <c r="D6" s="15" t="s">
        <v>29</v>
      </c>
      <c r="E6" s="15" t="s">
        <v>30</v>
      </c>
      <c r="F6" s="15" t="s">
        <v>32</v>
      </c>
    </row>
    <row r="7">
      <c r="B7" s="16">
        <v>2.0</v>
      </c>
      <c r="C7" s="15" t="s">
        <v>26</v>
      </c>
      <c r="D7" s="15" t="s">
        <v>29</v>
      </c>
      <c r="E7" s="15" t="s">
        <v>30</v>
      </c>
      <c r="F7" s="15" t="s">
        <v>37</v>
      </c>
    </row>
    <row r="8">
      <c r="B8" s="16">
        <v>3.0</v>
      </c>
      <c r="C8" s="15" t="s">
        <v>26</v>
      </c>
      <c r="D8" s="15" t="s">
        <v>29</v>
      </c>
      <c r="E8" s="15" t="s">
        <v>39</v>
      </c>
      <c r="F8" s="15" t="s">
        <v>41</v>
      </c>
    </row>
    <row r="9">
      <c r="B9" s="16">
        <v>4.0</v>
      </c>
      <c r="C9" s="15" t="s">
        <v>26</v>
      </c>
      <c r="D9" s="15" t="s">
        <v>29</v>
      </c>
      <c r="E9" s="15" t="s">
        <v>39</v>
      </c>
      <c r="F9" s="15" t="s">
        <v>43</v>
      </c>
    </row>
    <row r="10">
      <c r="B10" s="16">
        <v>5.0</v>
      </c>
      <c r="C10" s="15" t="s">
        <v>26</v>
      </c>
      <c r="D10" s="15" t="s">
        <v>29</v>
      </c>
      <c r="E10" s="15" t="s">
        <v>46</v>
      </c>
      <c r="F10" s="15" t="s">
        <v>48</v>
      </c>
    </row>
    <row r="11">
      <c r="B11" s="16">
        <v>6.0</v>
      </c>
      <c r="C11" s="15" t="s">
        <v>26</v>
      </c>
      <c r="D11" s="15" t="s">
        <v>29</v>
      </c>
      <c r="E11" s="15" t="s">
        <v>46</v>
      </c>
      <c r="F11" s="15" t="s">
        <v>50</v>
      </c>
    </row>
    <row r="12">
      <c r="B12" s="16">
        <v>7.0</v>
      </c>
      <c r="C12" s="15" t="s">
        <v>26</v>
      </c>
      <c r="D12" s="15" t="s">
        <v>29</v>
      </c>
      <c r="E12" s="15" t="s">
        <v>52</v>
      </c>
      <c r="F12" s="15" t="s">
        <v>53</v>
      </c>
    </row>
    <row r="13">
      <c r="B13" s="16">
        <v>8.0</v>
      </c>
      <c r="C13" s="15" t="s">
        <v>26</v>
      </c>
      <c r="D13" s="15" t="s">
        <v>29</v>
      </c>
      <c r="E13" s="15" t="s">
        <v>52</v>
      </c>
      <c r="F13" s="15" t="s">
        <v>56</v>
      </c>
    </row>
    <row r="14">
      <c r="B14" s="16">
        <v>9.0</v>
      </c>
      <c r="C14" s="15" t="s">
        <v>26</v>
      </c>
      <c r="D14" s="15" t="s">
        <v>29</v>
      </c>
      <c r="E14" s="15" t="s">
        <v>58</v>
      </c>
      <c r="F14" s="15" t="s">
        <v>60</v>
      </c>
    </row>
    <row r="15">
      <c r="B15" s="16">
        <v>10.0</v>
      </c>
      <c r="C15" s="15" t="s">
        <v>26</v>
      </c>
      <c r="D15" s="15" t="s">
        <v>29</v>
      </c>
      <c r="E15" s="15" t="s">
        <v>58</v>
      </c>
      <c r="F15" s="15" t="s">
        <v>63</v>
      </c>
    </row>
    <row r="16">
      <c r="B16" s="16">
        <v>11.0</v>
      </c>
      <c r="C16" s="15" t="s">
        <v>26</v>
      </c>
      <c r="D16" s="15" t="s">
        <v>29</v>
      </c>
      <c r="E16" s="15" t="s">
        <v>65</v>
      </c>
      <c r="F16" s="15" t="s">
        <v>66</v>
      </c>
    </row>
    <row r="17">
      <c r="B17" s="16">
        <v>12.0</v>
      </c>
      <c r="C17" s="15" t="s">
        <v>26</v>
      </c>
      <c r="D17" s="15" t="s">
        <v>29</v>
      </c>
      <c r="E17" s="15" t="s">
        <v>65</v>
      </c>
      <c r="F17" s="15" t="s">
        <v>68</v>
      </c>
    </row>
    <row r="18">
      <c r="B18" s="16">
        <v>13.0</v>
      </c>
      <c r="C18" s="15" t="s">
        <v>26</v>
      </c>
      <c r="D18" s="15" t="s">
        <v>29</v>
      </c>
      <c r="E18" s="15" t="s">
        <v>70</v>
      </c>
      <c r="F18" s="15" t="s">
        <v>71</v>
      </c>
    </row>
    <row r="19">
      <c r="B19" s="16">
        <v>14.0</v>
      </c>
      <c r="C19" s="15" t="s">
        <v>26</v>
      </c>
      <c r="D19" s="15" t="s">
        <v>29</v>
      </c>
      <c r="E19" s="15" t="s">
        <v>70</v>
      </c>
      <c r="F19" s="15" t="s">
        <v>74</v>
      </c>
    </row>
    <row r="20">
      <c r="B20" s="16">
        <v>15.0</v>
      </c>
      <c r="C20" s="15" t="s">
        <v>76</v>
      </c>
      <c r="D20" s="15" t="s">
        <v>77</v>
      </c>
      <c r="E20" s="15" t="s">
        <v>78</v>
      </c>
      <c r="F20" s="15" t="s">
        <v>79</v>
      </c>
    </row>
    <row r="21">
      <c r="B21" s="16">
        <v>16.0</v>
      </c>
      <c r="C21" s="15" t="s">
        <v>76</v>
      </c>
      <c r="D21" s="15" t="s">
        <v>77</v>
      </c>
      <c r="E21" s="15" t="s">
        <v>78</v>
      </c>
      <c r="F21" s="15" t="s">
        <v>82</v>
      </c>
    </row>
    <row r="22">
      <c r="B22" s="16">
        <v>17.0</v>
      </c>
      <c r="C22" s="15" t="s">
        <v>76</v>
      </c>
      <c r="D22" s="15" t="s">
        <v>77</v>
      </c>
      <c r="E22" s="15" t="s">
        <v>84</v>
      </c>
      <c r="F22" s="15" t="s">
        <v>85</v>
      </c>
    </row>
    <row r="23">
      <c r="B23" s="16">
        <v>18.0</v>
      </c>
      <c r="C23" s="15" t="s">
        <v>76</v>
      </c>
      <c r="D23" s="15" t="s">
        <v>77</v>
      </c>
      <c r="E23" s="15" t="s">
        <v>84</v>
      </c>
      <c r="F23" s="15" t="s">
        <v>89</v>
      </c>
    </row>
    <row r="24">
      <c r="B24" s="16">
        <v>19.0</v>
      </c>
      <c r="C24" s="15" t="s">
        <v>91</v>
      </c>
      <c r="D24" s="15" t="s">
        <v>77</v>
      </c>
      <c r="E24" s="15" t="s">
        <v>92</v>
      </c>
      <c r="F24" s="15" t="s">
        <v>93</v>
      </c>
    </row>
    <row r="25">
      <c r="B25" s="16">
        <v>20.0</v>
      </c>
      <c r="C25" s="15" t="s">
        <v>91</v>
      </c>
      <c r="D25" s="15" t="s">
        <v>77</v>
      </c>
      <c r="E25" s="15" t="s">
        <v>92</v>
      </c>
      <c r="F25" s="15" t="s">
        <v>97</v>
      </c>
    </row>
    <row r="26">
      <c r="B26" s="16">
        <v>21.0</v>
      </c>
      <c r="C26" s="15" t="s">
        <v>91</v>
      </c>
      <c r="D26" s="15" t="s">
        <v>77</v>
      </c>
      <c r="E26" s="15" t="s">
        <v>98</v>
      </c>
      <c r="F26" s="15" t="s">
        <v>100</v>
      </c>
    </row>
    <row r="27">
      <c r="B27" s="16">
        <v>22.0</v>
      </c>
      <c r="C27" s="15" t="s">
        <v>91</v>
      </c>
      <c r="D27" s="15" t="s">
        <v>77</v>
      </c>
      <c r="E27" s="15" t="s">
        <v>98</v>
      </c>
      <c r="F27" s="15" t="s">
        <v>103</v>
      </c>
    </row>
    <row r="28">
      <c r="B28" s="16">
        <v>23.0</v>
      </c>
      <c r="C28" s="15" t="s">
        <v>105</v>
      </c>
      <c r="D28" s="15" t="s">
        <v>106</v>
      </c>
      <c r="E28" s="15" t="s">
        <v>108</v>
      </c>
      <c r="F28" s="15" t="s">
        <v>109</v>
      </c>
    </row>
    <row r="29">
      <c r="B29" s="16">
        <v>24.0</v>
      </c>
      <c r="C29" s="15" t="s">
        <v>105</v>
      </c>
      <c r="D29" s="15" t="s">
        <v>106</v>
      </c>
      <c r="E29" s="15" t="s">
        <v>108</v>
      </c>
      <c r="F29" s="15" t="s">
        <v>112</v>
      </c>
    </row>
    <row r="30">
      <c r="B30" s="16">
        <v>25.0</v>
      </c>
      <c r="C30" s="15" t="s">
        <v>105</v>
      </c>
      <c r="D30" s="15" t="s">
        <v>106</v>
      </c>
      <c r="E30" s="15" t="s">
        <v>114</v>
      </c>
      <c r="F30" s="15" t="s">
        <v>115</v>
      </c>
    </row>
    <row r="31">
      <c r="B31" s="16">
        <v>26.0</v>
      </c>
      <c r="C31" s="15" t="s">
        <v>105</v>
      </c>
      <c r="D31" s="15" t="s">
        <v>106</v>
      </c>
      <c r="E31" s="15" t="s">
        <v>114</v>
      </c>
      <c r="F31" s="15" t="s">
        <v>117</v>
      </c>
    </row>
    <row r="32">
      <c r="B32" s="16">
        <v>27.0</v>
      </c>
      <c r="C32" s="15" t="s">
        <v>105</v>
      </c>
      <c r="D32" s="15" t="s">
        <v>106</v>
      </c>
      <c r="E32" s="15" t="s">
        <v>121</v>
      </c>
      <c r="F32" s="15" t="s">
        <v>122</v>
      </c>
    </row>
    <row r="33">
      <c r="B33" s="16">
        <v>28.0</v>
      </c>
      <c r="C33" s="15" t="s">
        <v>105</v>
      </c>
      <c r="D33" s="15" t="s">
        <v>106</v>
      </c>
      <c r="E33" s="15" t="s">
        <v>121</v>
      </c>
      <c r="F33" s="15" t="s">
        <v>124</v>
      </c>
    </row>
    <row r="34">
      <c r="B34" s="16">
        <v>29.0</v>
      </c>
      <c r="C34" s="15" t="s">
        <v>105</v>
      </c>
      <c r="D34" s="15" t="s">
        <v>106</v>
      </c>
      <c r="E34" s="15" t="s">
        <v>125</v>
      </c>
      <c r="F34" s="15" t="s">
        <v>127</v>
      </c>
    </row>
    <row r="35">
      <c r="B35" s="16">
        <v>30.0</v>
      </c>
      <c r="C35" s="15" t="s">
        <v>105</v>
      </c>
      <c r="D35" s="15" t="s">
        <v>106</v>
      </c>
      <c r="E35" s="15" t="s">
        <v>125</v>
      </c>
      <c r="F35" s="15" t="s">
        <v>130</v>
      </c>
    </row>
    <row r="36">
      <c r="B36" s="16">
        <v>31.0</v>
      </c>
      <c r="C36" s="15" t="s">
        <v>131</v>
      </c>
      <c r="D36" s="15" t="s">
        <v>106</v>
      </c>
      <c r="E36" s="15" t="s">
        <v>133</v>
      </c>
      <c r="F36" s="15" t="s">
        <v>134</v>
      </c>
    </row>
    <row r="37">
      <c r="B37" s="16">
        <v>32.0</v>
      </c>
      <c r="C37" s="15" t="s">
        <v>131</v>
      </c>
      <c r="D37" s="15" t="s">
        <v>106</v>
      </c>
      <c r="E37" s="15" t="s">
        <v>133</v>
      </c>
      <c r="F37" s="15" t="s">
        <v>136</v>
      </c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6.5"/>
    <col customWidth="1" min="4" max="4" width="23.13"/>
    <col customWidth="1" min="5" max="5" width="22.38"/>
    <col customWidth="1" min="6" max="6" width="22.13"/>
  </cols>
  <sheetData>
    <row r="2">
      <c r="B2" s="2" t="s">
        <v>0</v>
      </c>
      <c r="C2" s="4" t="s">
        <v>3</v>
      </c>
      <c r="D2" s="5"/>
      <c r="E2" s="5"/>
      <c r="F2" s="6"/>
    </row>
    <row r="3">
      <c r="B3" s="2" t="s">
        <v>5</v>
      </c>
      <c r="C3" s="9" t="s">
        <v>6</v>
      </c>
      <c r="D3" s="5"/>
      <c r="E3" s="5"/>
      <c r="F3" s="6"/>
    </row>
    <row r="4">
      <c r="B4" s="3"/>
    </row>
    <row r="5"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</row>
  </sheetData>
  <mergeCells count="2">
    <mergeCell ref="C2:F2"/>
    <mergeCell ref="C3:F3"/>
  </mergeCells>
  <drawing r:id="rId1"/>
</worksheet>
</file>